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328576\source\repos\EmergingMarketMonitor\config\"/>
    </mc:Choice>
  </mc:AlternateContent>
  <bookViews>
    <workbookView xWindow="0" yWindow="0" windowWidth="31740" windowHeight="9270"/>
  </bookViews>
  <sheets>
    <sheet name="securities_summary" sheetId="1" r:id="rId1"/>
  </sheets>
  <calcPr calcId="162913"/>
</workbook>
</file>

<file path=xl/calcChain.xml><?xml version="1.0" encoding="utf-8"?>
<calcChain xmlns="http://schemas.openxmlformats.org/spreadsheetml/2006/main">
  <c r="F18" i="1" l="1"/>
  <c r="F17" i="1"/>
  <c r="F16" i="1"/>
  <c r="F15" i="1"/>
  <c r="F22" i="1"/>
  <c r="F21" i="1"/>
  <c r="F20" i="1"/>
  <c r="F19" i="1"/>
  <c r="F14" i="1"/>
  <c r="F8" i="1"/>
  <c r="F5" i="1"/>
  <c r="F2" i="1"/>
  <c r="F6" i="1"/>
  <c r="F13" i="1"/>
  <c r="F7" i="1"/>
  <c r="F12" i="1"/>
  <c r="F4" i="1"/>
  <c r="F10" i="1"/>
  <c r="F3" i="1"/>
  <c r="F9" i="1"/>
  <c r="F11" i="1"/>
</calcChain>
</file>

<file path=xl/sharedStrings.xml><?xml version="1.0" encoding="utf-8"?>
<sst xmlns="http://schemas.openxmlformats.org/spreadsheetml/2006/main" count="111" uniqueCount="45">
  <si>
    <t>Ticker</t>
  </si>
  <si>
    <t>Field</t>
  </si>
  <si>
    <t>Country</t>
  </si>
  <si>
    <t xml:space="preserve">Region </t>
  </si>
  <si>
    <t>Chile</t>
  </si>
  <si>
    <t xml:space="preserve">Brazil </t>
  </si>
  <si>
    <t>Module</t>
  </si>
  <si>
    <t>Rates</t>
  </si>
  <si>
    <t xml:space="preserve">Debt outstanding </t>
  </si>
  <si>
    <t xml:space="preserve">Value </t>
  </si>
  <si>
    <t>Latam</t>
  </si>
  <si>
    <t>CTBRL10Y Govt</t>
  </si>
  <si>
    <t xml:space="preserve">Mexico </t>
  </si>
  <si>
    <t>CTMXN10Y Govt</t>
  </si>
  <si>
    <t>CTCLP10Y Govt</t>
  </si>
  <si>
    <t>WGDPBRAZ Index</t>
  </si>
  <si>
    <t>Economics</t>
  </si>
  <si>
    <t>GDP USD</t>
  </si>
  <si>
    <t>WGDPCHIL Index</t>
  </si>
  <si>
    <t>WGDPMEXI Index</t>
  </si>
  <si>
    <t>WGDPARGE Index</t>
  </si>
  <si>
    <t>Argentina</t>
  </si>
  <si>
    <t>Turkey</t>
  </si>
  <si>
    <t>EMEA</t>
  </si>
  <si>
    <t>CTTRY9Y Govt</t>
  </si>
  <si>
    <t>Russia</t>
  </si>
  <si>
    <t>CTRUB10Y Govt</t>
  </si>
  <si>
    <t>South Africa</t>
  </si>
  <si>
    <t>CTZAR10Y Govt</t>
  </si>
  <si>
    <t>WGDPSOUT Index</t>
  </si>
  <si>
    <t>WGDPRUSS Index</t>
  </si>
  <si>
    <t>WGDPTURK Index</t>
  </si>
  <si>
    <t>India</t>
  </si>
  <si>
    <t>Asia</t>
  </si>
  <si>
    <t>Korea</t>
  </si>
  <si>
    <t xml:space="preserve">Indonesia </t>
  </si>
  <si>
    <t>Thailand</t>
  </si>
  <si>
    <t>WGDPINDI Index</t>
  </si>
  <si>
    <t>WGDPKORE Index</t>
  </si>
  <si>
    <t>WGDPINDO Index</t>
  </si>
  <si>
    <t>WGDPTHAI Index</t>
  </si>
  <si>
    <t>CTINR10Y Govt</t>
  </si>
  <si>
    <t>CTKRW10Y Govt</t>
  </si>
  <si>
    <t>CTIDR10Y Govt</t>
  </si>
  <si>
    <t>CTTHB10Y Govt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</si>
</sst>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>
        <v>2660.2449999999999</v>
        <stp/>
        <stp>##V3_BDPV12</stp>
        <stp>WGDPINDI Index</stp>
        <stp>PX_LAST</stp>
        <stp>[securities_summary.XLSX]securities_summary!R19C6</stp>
        <tr r="F19" s="1"/>
      </tp>
      <tp>
        <v>501.64400000000001</v>
        <stp/>
        <stp>##V3_BDPV12</stp>
        <stp>WGDPTHAI Index</stp>
        <stp>PX_LAST</stp>
        <stp>[securities_summary.XLSX]securities_summary!R22C6</stp>
        <tr r="F22" s="1"/>
      </tp>
      <tp>
        <v>335.44200000000001</v>
        <stp/>
        <stp>##V3_BDPV12</stp>
        <stp>WGDPSOUT Index</stp>
        <stp>PX_LAST</stp>
        <stp>[securities_summary.XLSX]securities_summary!R14C6</stp>
        <tr r="F14" s="1"/>
      </tp>
      <tp>
        <v>1058.424</v>
        <stp/>
        <stp>##V3_BDPV12</stp>
        <stp>WGDPINDO Index</stp>
        <stp>PX_LAST</stp>
        <stp>[securities_summary.XLSX]securities_summary!R21C6</stp>
        <tr r="F21" s="1"/>
      </tp>
      <tp>
        <v>1637.896</v>
        <stp/>
        <stp>##V3_BDPV12</stp>
        <stp>WGDPKORE Index</stp>
        <stp>PX_LAST</stp>
        <stp>[securities_summary.XLSX]securities_summary!R20C6</stp>
        <tr r="F20" s="1"/>
      </tp>
      <tp>
        <v>1483.498</v>
        <stp/>
        <stp>##V3_BDPV12</stp>
        <stp>WGDPRUSS Index</stp>
        <stp>PX_LAST</stp>
        <stp>[securities_summary.XLSX]securities_summary!R13C6</stp>
        <tr r="F13" s="1"/>
      </tp>
      <tp>
        <v>719.95500000000004</v>
        <stp/>
        <stp>##V3_BDPV12</stp>
        <stp>WGDPTURK Index</stp>
        <stp>PX_LAST</stp>
        <stp>[securities_summary.XLSX]securities_summary!R12C6</stp>
        <tr r="F12" s="1"/>
      </tp>
    </main>
    <main first="bloomberg.rtd">
      <tp>
        <v>425614460889</v>
        <stp/>
        <stp>##V3_BDPV12</stp>
        <stp>CTIDR10Y Govt</stp>
        <stp>DDIS_AMT_OUTSTANDING</stp>
        <stp>[securities_summary.XLSX]securities_summary!R17C6</stp>
        <stp>DDIS_CURRENCY=usd</stp>
        <stp>DDIS_DEBT_TYPE_OVERRIDE=B</stp>
        <tr r="F17" s="1"/>
      </tp>
      <tp>
        <v>886672500082</v>
        <stp/>
        <stp>##V3_BDPV12</stp>
        <stp>CTKRW10Y Govt</stp>
        <stp>DDIS_AMT_OUTSTANDING</stp>
        <stp>[securities_summary.XLSX]securities_summary!R16C6</stp>
        <stp>DDIS_CURRENCY=usd</stp>
        <stp>DDIS_DEBT_TYPE_OVERRIDE=B</stp>
        <tr r="F16" s="1"/>
      </tp>
      <tp>
        <v>1225521415214</v>
        <stp/>
        <stp>##V3_BDPV12</stp>
        <stp>CTINR10Y Govt</stp>
        <stp>DDIS_AMT_OUTSTANDING</stp>
        <stp>[securities_summary.XLSX]securities_summary!R15C6</stp>
        <stp>DDIS_CURRENCY=usd</stp>
        <stp>DDIS_DEBT_TYPE_OVERRIDE=B</stp>
        <tr r="F15" s="1"/>
      </tp>
      <tp>
        <v>258423145989</v>
        <stp/>
        <stp>##V3_BDPV12</stp>
        <stp>CTZAR10Y Govt</stp>
        <stp>DDIS_AMT_OUTSTANDING</stp>
        <stp>[securities_summary.XLSX]securities_summary!R11C6</stp>
        <stp>DDIS_CURRENCY=usd</stp>
        <stp>DDIS_DEBT_TYPE_OVERRIDE=B</stp>
        <tr r="F11" s="1"/>
      </tp>
      <tp>
        <v>168137171148</v>
        <stp/>
        <stp>##V3_BDPV12</stp>
        <stp>CTRUB10Y Govt</stp>
        <stp>DDIS_AMT_OUTSTANDING</stp>
        <stp>[securities_summary.XLSX]securities_summary!R10C6</stp>
        <stp>DDIS_CURRENCY=usd</stp>
        <stp>DDIS_DEBT_TYPE_OVERRIDE=B</stp>
        <tr r="F10" s="1"/>
      </tp>
      <tp>
        <v>310130027901</v>
        <stp/>
        <stp>##V3_BDPV12</stp>
        <stp>CTTHB10Y Govt</stp>
        <stp>DDIS_AMT_OUTSTANDING</stp>
        <stp>[securities_summary.XLSX]securities_summary!R18C6</stp>
        <stp>DDIS_CURRENCY=usd</stp>
        <stp>DDIS_DEBT_TYPE_OVERRIDE=B</stp>
        <tr r="F18" s="1"/>
      </tp>
      <tp>
        <v>114671579879</v>
        <stp/>
        <stp>##V3_BDPV12</stp>
        <stp>CTCLP10Y Govt</stp>
        <stp>DDIS_AMT_OUTSTANDING</stp>
        <stp>[securities_summary.XLSX]securities_summary!R3C6</stp>
        <stp>DDIS_CURRENCY=usd</stp>
        <stp>DDIS_DEBT_TYPE_OVERRIDE=B</stp>
        <tr r="F3" s="1"/>
      </tp>
      <tp>
        <v>1034164849944</v>
        <stp/>
        <stp>##V3_BDPV12</stp>
        <stp>CTBRL10Y Govt</stp>
        <stp>DDIS_AMT_OUTSTANDING</stp>
        <stp>[securities_summary.XLSX]securities_summary!R2C6</stp>
        <stp>DDIS_CURRENCY=usd</stp>
        <stp>DDIS_DEBT_TYPE_OVERRIDE=B</stp>
        <tr r="F2" s="1"/>
      </tp>
      <tp>
        <v>582435189256</v>
        <stp/>
        <stp>##V3_BDPV12</stp>
        <stp>CTMXN10Y Govt</stp>
        <stp>DDIS_AMT_OUTSTANDING</stp>
        <stp>[securities_summary.XLSX]securities_summary!R4C6</stp>
        <stp>DDIS_CURRENCY=usd</stp>
        <stp>DDIS_DEBT_TYPE_OVERRIDE=B</stp>
        <tr r="F4" s="1"/>
      </tp>
      <tp>
        <v>168158542367</v>
        <stp/>
        <stp>##V3_BDPV12</stp>
        <stp>CTTRY9Y Govt</stp>
        <stp>DDIS_AMT_OUTSTANDING</stp>
        <stp>[securities_summary.XLSX]securities_summary!R9C6</stp>
        <stp>DDIS_CURRENCY=usd</stp>
        <stp>DDIS_DEBT_TYPE_OVERRIDE=B</stp>
        <tr r="F9" s="1"/>
      </tp>
      <tp>
        <v>1073.9159999999999</v>
        <stp/>
        <stp>##V3_BDPV12</stp>
        <stp>WGDPMEXI Index</stp>
        <stp>PX_LAST</stp>
        <stp>[securities_summary.XLSX]securities_summary!R7C6</stp>
        <tr r="F7" s="1"/>
      </tp>
      <tp>
        <v>389.28800000000001</v>
        <stp/>
        <stp>##V3_BDPV12</stp>
        <stp>WGDPARGE Index</stp>
        <stp>PX_LAST</stp>
        <stp>[securities_summary.XLSX]securities_summary!R8C6</stp>
        <tr r="F8" s="1"/>
      </tp>
      <tp>
        <v>1444.7329999999999</v>
        <stp/>
        <stp>##V3_BDPV12</stp>
        <stp>WGDPBRAZ Index</stp>
        <stp>PX_LAST</stp>
        <stp>[securities_summary.XLSX]securities_summary!R5C6</stp>
        <tr r="F5" s="1"/>
      </tp>
      <tp>
        <v>252.94</v>
        <stp/>
        <stp>##V3_BDPV12</stp>
        <stp>WGDPCHIL Index</stp>
        <stp>PX_LAST</stp>
        <stp>[securities_summary.XLSX]securities_summary!R6C6</stp>
        <tr r="F6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I17" sqref="I17"/>
    </sheetView>
  </sheetViews>
  <sheetFormatPr defaultRowHeight="15" x14ac:dyDescent="0.25"/>
  <cols>
    <col min="5" max="5" width="23.7109375" customWidth="1"/>
    <col min="6" max="6" width="19" bestFit="1" customWidth="1"/>
  </cols>
  <sheetData>
    <row r="1" spans="1:6" x14ac:dyDescent="0.25">
      <c r="A1" t="s">
        <v>6</v>
      </c>
      <c r="B1" t="s">
        <v>1</v>
      </c>
      <c r="C1" t="s">
        <v>2</v>
      </c>
      <c r="D1" t="s">
        <v>3</v>
      </c>
      <c r="E1" t="s">
        <v>0</v>
      </c>
      <c r="F1" t="s">
        <v>9</v>
      </c>
    </row>
    <row r="2" spans="1:6" x14ac:dyDescent="0.25">
      <c r="A2" t="s">
        <v>7</v>
      </c>
      <c r="B2" t="s">
        <v>8</v>
      </c>
      <c r="C2" t="s">
        <v>5</v>
      </c>
      <c r="D2" t="s">
        <v>10</v>
      </c>
      <c r="E2" t="s">
        <v>11</v>
      </c>
      <c r="F2" s="1">
        <f>_xll.BDP($E2,"DDIS_AMT_OUTSTANDING", "DDIS_CURRENCY=usd", "DDIS_DEBT_TYPE_OVERRIDE=B")</f>
        <v>1034164849944</v>
      </c>
    </row>
    <row r="3" spans="1:6" x14ac:dyDescent="0.25">
      <c r="A3" t="s">
        <v>7</v>
      </c>
      <c r="B3" t="s">
        <v>8</v>
      </c>
      <c r="C3" t="s">
        <v>4</v>
      </c>
      <c r="D3" t="s">
        <v>10</v>
      </c>
      <c r="E3" t="s">
        <v>14</v>
      </c>
      <c r="F3" s="1">
        <f>_xll.BDP($E3,"DDIS_AMT_OUTSTANDING", "DDIS_CURRENCY=usd", "DDIS_DEBT_TYPE_OVERRIDE=B")</f>
        <v>114671579879</v>
      </c>
    </row>
    <row r="4" spans="1:6" x14ac:dyDescent="0.25">
      <c r="A4" t="s">
        <v>7</v>
      </c>
      <c r="B4" t="s">
        <v>8</v>
      </c>
      <c r="C4" t="s">
        <v>12</v>
      </c>
      <c r="D4" t="s">
        <v>10</v>
      </c>
      <c r="E4" t="s">
        <v>13</v>
      </c>
      <c r="F4" s="1">
        <f>_xll.BDP($E4,"DDIS_AMT_OUTSTANDING", "DDIS_CURRENCY=usd", "DDIS_DEBT_TYPE_OVERRIDE=B")</f>
        <v>582435189256</v>
      </c>
    </row>
    <row r="5" spans="1:6" x14ac:dyDescent="0.25">
      <c r="A5" t="s">
        <v>16</v>
      </c>
      <c r="B5" t="s">
        <v>17</v>
      </c>
      <c r="C5" t="s">
        <v>5</v>
      </c>
      <c r="D5" t="s">
        <v>10</v>
      </c>
      <c r="E5" t="s">
        <v>15</v>
      </c>
      <c r="F5" s="1">
        <f>_xll.BDP($E5, "PX_LAST")</f>
        <v>1444.7329999999999</v>
      </c>
    </row>
    <row r="6" spans="1:6" x14ac:dyDescent="0.25">
      <c r="A6" t="s">
        <v>16</v>
      </c>
      <c r="B6" t="s">
        <v>17</v>
      </c>
      <c r="C6" t="s">
        <v>4</v>
      </c>
      <c r="D6" t="s">
        <v>10</v>
      </c>
      <c r="E6" t="s">
        <v>18</v>
      </c>
      <c r="F6" s="1">
        <f>_xll.BDP($E6, "PX_LAST")</f>
        <v>252.94</v>
      </c>
    </row>
    <row r="7" spans="1:6" x14ac:dyDescent="0.25">
      <c r="A7" t="s">
        <v>16</v>
      </c>
      <c r="B7" t="s">
        <v>17</v>
      </c>
      <c r="C7" t="s">
        <v>12</v>
      </c>
      <c r="D7" t="s">
        <v>10</v>
      </c>
      <c r="E7" t="s">
        <v>19</v>
      </c>
      <c r="F7" s="1">
        <f>_xll.BDP($E7, "PX_LAST")</f>
        <v>1073.9159999999999</v>
      </c>
    </row>
    <row r="8" spans="1:6" x14ac:dyDescent="0.25">
      <c r="A8" t="s">
        <v>16</v>
      </c>
      <c r="B8" t="s">
        <v>17</v>
      </c>
      <c r="C8" t="s">
        <v>21</v>
      </c>
      <c r="D8" t="s">
        <v>10</v>
      </c>
      <c r="E8" t="s">
        <v>20</v>
      </c>
      <c r="F8" s="1">
        <f>_xll.BDP($E8, "PX_LAST")</f>
        <v>389.28800000000001</v>
      </c>
    </row>
    <row r="9" spans="1:6" x14ac:dyDescent="0.25">
      <c r="A9" t="s">
        <v>7</v>
      </c>
      <c r="B9" t="s">
        <v>8</v>
      </c>
      <c r="C9" t="s">
        <v>22</v>
      </c>
      <c r="D9" t="s">
        <v>23</v>
      </c>
      <c r="E9" t="s">
        <v>24</v>
      </c>
      <c r="F9" s="1">
        <f>_xll.BDP($E9,"DDIS_AMT_OUTSTANDING", "DDIS_CURRENCY=usd", "DDIS_DEBT_TYPE_OVERRIDE=B")</f>
        <v>168158542367</v>
      </c>
    </row>
    <row r="10" spans="1:6" x14ac:dyDescent="0.25">
      <c r="A10" t="s">
        <v>7</v>
      </c>
      <c r="B10" t="s">
        <v>8</v>
      </c>
      <c r="C10" t="s">
        <v>25</v>
      </c>
      <c r="D10" t="s">
        <v>23</v>
      </c>
      <c r="E10" t="s">
        <v>26</v>
      </c>
      <c r="F10" s="1">
        <f>_xll.BDP($E10,"DDIS_AMT_OUTSTANDING", "DDIS_CURRENCY=usd", "DDIS_DEBT_TYPE_OVERRIDE=B")</f>
        <v>168137171148</v>
      </c>
    </row>
    <row r="11" spans="1:6" x14ac:dyDescent="0.25">
      <c r="A11" t="s">
        <v>7</v>
      </c>
      <c r="B11" t="s">
        <v>8</v>
      </c>
      <c r="C11" t="s">
        <v>27</v>
      </c>
      <c r="D11" t="s">
        <v>23</v>
      </c>
      <c r="E11" t="s">
        <v>28</v>
      </c>
      <c r="F11" s="1">
        <f>_xll.BDP($E11,"DDIS_AMT_OUTSTANDING", "DDIS_CURRENCY=usd", "DDIS_DEBT_TYPE_OVERRIDE=B")</f>
        <v>258423145989</v>
      </c>
    </row>
    <row r="12" spans="1:6" x14ac:dyDescent="0.25">
      <c r="A12" t="s">
        <v>16</v>
      </c>
      <c r="B12" t="s">
        <v>17</v>
      </c>
      <c r="C12" t="s">
        <v>22</v>
      </c>
      <c r="D12" t="s">
        <v>23</v>
      </c>
      <c r="E12" t="s">
        <v>31</v>
      </c>
      <c r="F12" s="1">
        <f>_xll.BDP($E12, "PX_LAST")</f>
        <v>719.95500000000004</v>
      </c>
    </row>
    <row r="13" spans="1:6" x14ac:dyDescent="0.25">
      <c r="A13" t="s">
        <v>16</v>
      </c>
      <c r="B13" t="s">
        <v>17</v>
      </c>
      <c r="C13" t="s">
        <v>25</v>
      </c>
      <c r="D13" t="s">
        <v>23</v>
      </c>
      <c r="E13" t="s">
        <v>30</v>
      </c>
      <c r="F13" s="1">
        <f>_xll.BDP($E13, "PX_LAST")</f>
        <v>1483.498</v>
      </c>
    </row>
    <row r="14" spans="1:6" x14ac:dyDescent="0.25">
      <c r="A14" t="s">
        <v>16</v>
      </c>
      <c r="B14" t="s">
        <v>17</v>
      </c>
      <c r="C14" t="s">
        <v>27</v>
      </c>
      <c r="D14" t="s">
        <v>23</v>
      </c>
      <c r="E14" t="s">
        <v>29</v>
      </c>
      <c r="F14" s="1">
        <f>_xll.BDP($E14, "PX_LAST")</f>
        <v>335.44200000000001</v>
      </c>
    </row>
    <row r="15" spans="1:6" x14ac:dyDescent="0.25">
      <c r="A15" t="s">
        <v>7</v>
      </c>
      <c r="B15" t="s">
        <v>8</v>
      </c>
      <c r="C15" t="s">
        <v>32</v>
      </c>
      <c r="D15" t="s">
        <v>33</v>
      </c>
      <c r="E15" t="s">
        <v>41</v>
      </c>
      <c r="F15" s="1">
        <f>_xll.BDP($E15,"DDIS_AMT_OUTSTANDING", "DDIS_CURRENCY=usd", "DDIS_DEBT_TYPE_OVERRIDE=B")</f>
        <v>1225521415214</v>
      </c>
    </row>
    <row r="16" spans="1:6" x14ac:dyDescent="0.25">
      <c r="A16" t="s">
        <v>7</v>
      </c>
      <c r="B16" t="s">
        <v>8</v>
      </c>
      <c r="C16" t="s">
        <v>34</v>
      </c>
      <c r="D16" t="s">
        <v>33</v>
      </c>
      <c r="E16" t="s">
        <v>42</v>
      </c>
      <c r="F16" s="1">
        <f>_xll.BDP($E16,"DDIS_AMT_OUTSTANDING", "DDIS_CURRENCY=usd", "DDIS_DEBT_TYPE_OVERRIDE=B")</f>
        <v>886672500082</v>
      </c>
    </row>
    <row r="17" spans="1:6" x14ac:dyDescent="0.25">
      <c r="A17" t="s">
        <v>7</v>
      </c>
      <c r="B17" t="s">
        <v>8</v>
      </c>
      <c r="C17" t="s">
        <v>35</v>
      </c>
      <c r="D17" t="s">
        <v>33</v>
      </c>
      <c r="E17" t="s">
        <v>43</v>
      </c>
      <c r="F17" s="1">
        <f>_xll.BDP($E17,"DDIS_AMT_OUTSTANDING", "DDIS_CURRENCY=usd", "DDIS_DEBT_TYPE_OVERRIDE=B")</f>
        <v>425614460889</v>
      </c>
    </row>
    <row r="18" spans="1:6" x14ac:dyDescent="0.25">
      <c r="A18" t="s">
        <v>7</v>
      </c>
      <c r="B18" t="s">
        <v>8</v>
      </c>
      <c r="C18" t="s">
        <v>36</v>
      </c>
      <c r="D18" t="s">
        <v>33</v>
      </c>
      <c r="E18" t="s">
        <v>44</v>
      </c>
      <c r="F18" s="1">
        <f>_xll.BDP($E18,"DDIS_AMT_OUTSTANDING", "DDIS_CURRENCY=usd", "DDIS_DEBT_TYPE_OVERRIDE=B")</f>
        <v>310130027901</v>
      </c>
    </row>
    <row r="19" spans="1:6" x14ac:dyDescent="0.25">
      <c r="A19" t="s">
        <v>16</v>
      </c>
      <c r="B19" t="s">
        <v>17</v>
      </c>
      <c r="C19" t="s">
        <v>32</v>
      </c>
      <c r="D19" t="s">
        <v>33</v>
      </c>
      <c r="E19" t="s">
        <v>37</v>
      </c>
      <c r="F19" s="1">
        <f>_xll.BDP($E19, "PX_LAST")</f>
        <v>2660.2449999999999</v>
      </c>
    </row>
    <row r="20" spans="1:6" x14ac:dyDescent="0.25">
      <c r="A20" t="s">
        <v>16</v>
      </c>
      <c r="B20" t="s">
        <v>17</v>
      </c>
      <c r="C20" t="s">
        <v>34</v>
      </c>
      <c r="D20" t="s">
        <v>33</v>
      </c>
      <c r="E20" t="s">
        <v>38</v>
      </c>
      <c r="F20" s="1">
        <f>_xll.BDP($E20, "PX_LAST")</f>
        <v>1637.896</v>
      </c>
    </row>
    <row r="21" spans="1:6" x14ac:dyDescent="0.25">
      <c r="A21" t="s">
        <v>16</v>
      </c>
      <c r="B21" t="s">
        <v>17</v>
      </c>
      <c r="C21" t="s">
        <v>35</v>
      </c>
      <c r="D21" t="s">
        <v>33</v>
      </c>
      <c r="E21" t="s">
        <v>39</v>
      </c>
      <c r="F21" s="1">
        <f>_xll.BDP($E21, "PX_LAST")</f>
        <v>1058.424</v>
      </c>
    </row>
    <row r="22" spans="1:6" x14ac:dyDescent="0.25">
      <c r="A22" t="s">
        <v>16</v>
      </c>
      <c r="B22" t="s">
        <v>17</v>
      </c>
      <c r="C22" t="s">
        <v>36</v>
      </c>
      <c r="D22" t="s">
        <v>33</v>
      </c>
      <c r="E22" t="s">
        <v>40</v>
      </c>
      <c r="F22" s="1">
        <f>_xll.BDP($E22, "PX_LAST")</f>
        <v>501.64400000000001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securities_summary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Allen, Joshua</cp:lastModifiedBy>
  <dcterms:created xsi:type="dcterms:W3CDTF">2021-09-29T14:18:07Z</dcterms:created>
  <dcterms:modified xsi:type="dcterms:W3CDTF">2022-03-14T13:59:08Z</dcterms:modified>
</cp:coreProperties>
</file>